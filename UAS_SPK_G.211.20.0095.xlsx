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SPK\"/>
    </mc:Choice>
  </mc:AlternateContent>
  <xr:revisionPtr revIDLastSave="0" documentId="13_ncr:1_{01DEC1E6-2B79-453A-A098-5392FC3DC4D5}" xr6:coauthVersionLast="47" xr6:coauthVersionMax="47" xr10:uidLastSave="{00000000-0000-0000-0000-000000000000}"/>
  <bookViews>
    <workbookView xWindow="3440" yWindow="3440" windowWidth="20140" windowHeight="11260" xr2:uid="{8285F319-5BA8-4956-8913-2DAC7BE3E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1" l="1"/>
  <c r="H73" i="1"/>
  <c r="H74" i="1"/>
  <c r="H71" i="1"/>
  <c r="G72" i="1" l="1"/>
  <c r="G73" i="1"/>
  <c r="G74" i="1"/>
  <c r="G71" i="1"/>
  <c r="D71" i="1"/>
  <c r="E71" i="1"/>
  <c r="F71" i="1"/>
  <c r="D72" i="1"/>
  <c r="E72" i="1"/>
  <c r="F72" i="1"/>
  <c r="D73" i="1"/>
  <c r="E73" i="1"/>
  <c r="F73" i="1"/>
  <c r="D74" i="1"/>
  <c r="E74" i="1"/>
  <c r="F74" i="1"/>
  <c r="C72" i="1"/>
  <c r="C73" i="1"/>
  <c r="C74" i="1"/>
  <c r="C71" i="1"/>
  <c r="G54" i="1"/>
  <c r="D54" i="1"/>
  <c r="E54" i="1"/>
  <c r="F54" i="1"/>
  <c r="C54" i="1"/>
  <c r="G53" i="1"/>
  <c r="F53" i="1"/>
  <c r="E53" i="1"/>
  <c r="D53" i="1"/>
  <c r="C53" i="1"/>
  <c r="I50" i="1"/>
  <c r="G50" i="1"/>
  <c r="E50" i="1"/>
  <c r="C50" i="1"/>
  <c r="I49" i="1"/>
  <c r="I48" i="1"/>
  <c r="I47" i="1"/>
  <c r="G48" i="1"/>
  <c r="G47" i="1"/>
  <c r="C47" i="1"/>
  <c r="H35" i="1"/>
  <c r="I35" i="1"/>
  <c r="H36" i="1"/>
  <c r="I36" i="1"/>
  <c r="H37" i="1"/>
  <c r="I37" i="1"/>
  <c r="H38" i="1"/>
  <c r="I38" i="1"/>
  <c r="G36" i="1"/>
  <c r="G37" i="1"/>
  <c r="G38" i="1"/>
  <c r="G35" i="1"/>
  <c r="C39" i="1"/>
  <c r="D39" i="1"/>
  <c r="B39" i="1"/>
  <c r="C35" i="1"/>
  <c r="D35" i="1"/>
  <c r="C36" i="1"/>
  <c r="D36" i="1"/>
  <c r="C37" i="1"/>
  <c r="D37" i="1"/>
  <c r="C38" i="1"/>
  <c r="D38" i="1"/>
  <c r="B36" i="1"/>
  <c r="B37" i="1"/>
  <c r="B38" i="1"/>
  <c r="B35" i="1"/>
</calcChain>
</file>

<file path=xl/sharedStrings.xml><?xml version="1.0" encoding="utf-8"?>
<sst xmlns="http://schemas.openxmlformats.org/spreadsheetml/2006/main" count="99" uniqueCount="47">
  <si>
    <t>C1</t>
  </si>
  <si>
    <t>C2</t>
  </si>
  <si>
    <t>C3</t>
  </si>
  <si>
    <t>C4</t>
  </si>
  <si>
    <t>Alternatif</t>
  </si>
  <si>
    <t>Tanaman</t>
  </si>
  <si>
    <t>A1</t>
  </si>
  <si>
    <t>A2</t>
  </si>
  <si>
    <t>A3</t>
  </si>
  <si>
    <t>A4</t>
  </si>
  <si>
    <t>Bambu Cina</t>
  </si>
  <si>
    <t>Bambu Kuning</t>
  </si>
  <si>
    <t>Kaktus Minima Blue</t>
  </si>
  <si>
    <t>Oxalis (Kupu-Kupu)</t>
  </si>
  <si>
    <t>Matrix Perbandingan antar kriteria</t>
  </si>
  <si>
    <t>l</t>
  </si>
  <si>
    <t>m</t>
  </si>
  <si>
    <t>u</t>
  </si>
  <si>
    <t>Matrix Pairway Comparison</t>
  </si>
  <si>
    <t>Fuzzy Tringular Number</t>
  </si>
  <si>
    <t>Nilai Sintesis Fuzzy untuk Kriteria</t>
  </si>
  <si>
    <t>Menentukan derajat keanggotaan dengan syarat</t>
  </si>
  <si>
    <r>
      <t>C1</t>
    </r>
    <r>
      <rPr>
        <sz val="11"/>
        <color theme="1"/>
        <rFont val="Calibri"/>
        <family val="2"/>
      </rPr>
      <t>≥C2</t>
    </r>
    <r>
      <rPr>
        <sz val="11"/>
        <color theme="1"/>
        <rFont val="Calibri"/>
        <family val="2"/>
        <scheme val="minor"/>
      </rPr>
      <t>=</t>
    </r>
  </si>
  <si>
    <r>
      <t>C1</t>
    </r>
    <r>
      <rPr>
        <sz val="11"/>
        <color theme="1"/>
        <rFont val="Calibri"/>
        <family val="2"/>
      </rPr>
      <t>≥C3</t>
    </r>
    <r>
      <rPr>
        <sz val="11"/>
        <color theme="1"/>
        <rFont val="Calibri"/>
        <family val="2"/>
        <scheme val="minor"/>
      </rPr>
      <t>=</t>
    </r>
  </si>
  <si>
    <r>
      <t>C1</t>
    </r>
    <r>
      <rPr>
        <sz val="11"/>
        <color theme="1"/>
        <rFont val="Calibri"/>
        <family val="2"/>
      </rPr>
      <t>≥C4</t>
    </r>
    <r>
      <rPr>
        <sz val="11"/>
        <color theme="1"/>
        <rFont val="Calibri"/>
        <family val="2"/>
        <scheme val="minor"/>
      </rPr>
      <t>=</t>
    </r>
  </si>
  <si>
    <r>
      <t>C2</t>
    </r>
    <r>
      <rPr>
        <sz val="11"/>
        <color theme="1"/>
        <rFont val="Calibri"/>
        <family val="2"/>
      </rPr>
      <t>≥C1</t>
    </r>
    <r>
      <rPr>
        <sz val="11"/>
        <color theme="1"/>
        <rFont val="Calibri"/>
        <family val="2"/>
        <scheme val="minor"/>
      </rPr>
      <t>=</t>
    </r>
  </si>
  <si>
    <r>
      <t>C2</t>
    </r>
    <r>
      <rPr>
        <sz val="11"/>
        <color theme="1"/>
        <rFont val="Calibri"/>
        <family val="2"/>
      </rPr>
      <t>≥C3</t>
    </r>
    <r>
      <rPr>
        <sz val="11"/>
        <color theme="1"/>
        <rFont val="Calibri"/>
        <family val="2"/>
        <scheme val="minor"/>
      </rPr>
      <t>=</t>
    </r>
  </si>
  <si>
    <r>
      <t>C2</t>
    </r>
    <r>
      <rPr>
        <sz val="11"/>
        <color theme="1"/>
        <rFont val="Calibri"/>
        <family val="2"/>
      </rPr>
      <t>≥C4</t>
    </r>
    <r>
      <rPr>
        <sz val="11"/>
        <color theme="1"/>
        <rFont val="Calibri"/>
        <family val="2"/>
        <scheme val="minor"/>
      </rPr>
      <t>=</t>
    </r>
  </si>
  <si>
    <r>
      <t>C3</t>
    </r>
    <r>
      <rPr>
        <sz val="11"/>
        <color theme="1"/>
        <rFont val="Calibri"/>
        <family val="2"/>
      </rPr>
      <t>≥C1</t>
    </r>
    <r>
      <rPr>
        <sz val="11"/>
        <color theme="1"/>
        <rFont val="Calibri"/>
        <family val="2"/>
        <scheme val="minor"/>
      </rPr>
      <t>=</t>
    </r>
  </si>
  <si>
    <r>
      <t>C3</t>
    </r>
    <r>
      <rPr>
        <sz val="11"/>
        <color theme="1"/>
        <rFont val="Calibri"/>
        <family val="2"/>
      </rPr>
      <t>≥C2</t>
    </r>
    <r>
      <rPr>
        <sz val="11"/>
        <color theme="1"/>
        <rFont val="Calibri"/>
        <family val="2"/>
        <scheme val="minor"/>
      </rPr>
      <t>=</t>
    </r>
  </si>
  <si>
    <r>
      <t>C3</t>
    </r>
    <r>
      <rPr>
        <sz val="11"/>
        <color theme="1"/>
        <rFont val="Calibri"/>
        <family val="2"/>
      </rPr>
      <t>≥C4</t>
    </r>
    <r>
      <rPr>
        <sz val="11"/>
        <color theme="1"/>
        <rFont val="Calibri"/>
        <family val="2"/>
        <scheme val="minor"/>
      </rPr>
      <t>=</t>
    </r>
  </si>
  <si>
    <r>
      <t>C4</t>
    </r>
    <r>
      <rPr>
        <sz val="11"/>
        <color theme="1"/>
        <rFont val="Calibri"/>
        <family val="2"/>
      </rPr>
      <t>≥C1</t>
    </r>
    <r>
      <rPr>
        <sz val="11"/>
        <color theme="1"/>
        <rFont val="Calibri"/>
        <family val="2"/>
        <scheme val="minor"/>
      </rPr>
      <t>=</t>
    </r>
  </si>
  <si>
    <r>
      <t>C4</t>
    </r>
    <r>
      <rPr>
        <sz val="11"/>
        <color theme="1"/>
        <rFont val="Calibri"/>
        <family val="2"/>
      </rPr>
      <t>≥C2</t>
    </r>
    <r>
      <rPr>
        <sz val="11"/>
        <color theme="1"/>
        <rFont val="Calibri"/>
        <family val="2"/>
        <scheme val="minor"/>
      </rPr>
      <t>=</t>
    </r>
  </si>
  <si>
    <r>
      <t>C4</t>
    </r>
    <r>
      <rPr>
        <sz val="11"/>
        <color theme="1"/>
        <rFont val="Calibri"/>
        <family val="2"/>
      </rPr>
      <t>≥C3</t>
    </r>
    <r>
      <rPr>
        <sz val="11"/>
        <color theme="1"/>
        <rFont val="Calibri"/>
        <family val="2"/>
        <scheme val="minor"/>
      </rPr>
      <t>=</t>
    </r>
  </si>
  <si>
    <t>bobot vektor</t>
  </si>
  <si>
    <t>W=</t>
  </si>
  <si>
    <t>jml</t>
  </si>
  <si>
    <t>Oxalis (Kupu-kupu)</t>
  </si>
  <si>
    <t>matrix pembobotan masing-masing alternatif</t>
  </si>
  <si>
    <t>Ukuran tanaman</t>
  </si>
  <si>
    <t>Daya Tahan</t>
  </si>
  <si>
    <t>Pencahayaan</t>
  </si>
  <si>
    <t>Harga</t>
  </si>
  <si>
    <t>bobot kriteria alternatif sekaligus perangkingan</t>
  </si>
  <si>
    <t>Rank</t>
  </si>
  <si>
    <t>maka tanaman hias terbaik adalah</t>
  </si>
  <si>
    <t>W'=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</si>
</sst>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6</xdr:row>
      <xdr:rowOff>25401</xdr:rowOff>
    </xdr:from>
    <xdr:to>
      <xdr:col>5</xdr:col>
      <xdr:colOff>400050</xdr:colOff>
      <xdr:row>22</xdr:row>
      <xdr:rowOff>120111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06795-A98D-2D2C-08C2-AC6CE036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1130301"/>
          <a:ext cx="3905250" cy="304111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41</xdr:row>
      <xdr:rowOff>0</xdr:rowOff>
    </xdr:from>
    <xdr:to>
      <xdr:col>3</xdr:col>
      <xdr:colOff>639136</xdr:colOff>
      <xdr:row>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65DB6-AD16-E6EF-92C6-73715B75D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300" y="7550150"/>
          <a:ext cx="2226636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7887-48EE-4AA3-82E5-C98679B8681E}">
  <dimension ref="B1:N80"/>
  <sheetViews>
    <sheetView tabSelected="1" topLeftCell="A28" workbookViewId="0">
      <selection activeCell="C1" sqref="C1"/>
    </sheetView>
  </sheetViews>
  <sheetFormatPr defaultRowHeight="14.5" x14ac:dyDescent="0.35"/>
  <cols>
    <col min="3" max="3" width="16" customWidth="1"/>
    <col min="4" max="4" width="11.1796875" customWidth="1"/>
    <col min="5" max="5" width="11.7265625" customWidth="1"/>
  </cols>
  <sheetData>
    <row r="1" spans="2:6" x14ac:dyDescent="0.35">
      <c r="C1" t="s">
        <v>14</v>
      </c>
    </row>
    <row r="2" spans="2:6" x14ac:dyDescent="0.35">
      <c r="C2" t="s">
        <v>0</v>
      </c>
      <c r="D2" t="s">
        <v>1</v>
      </c>
      <c r="E2" t="s">
        <v>2</v>
      </c>
      <c r="F2" t="s">
        <v>3</v>
      </c>
    </row>
    <row r="3" spans="2:6" x14ac:dyDescent="0.35">
      <c r="B3" t="s">
        <v>0</v>
      </c>
      <c r="C3">
        <v>1</v>
      </c>
      <c r="D3">
        <v>5</v>
      </c>
      <c r="E3">
        <v>2</v>
      </c>
      <c r="F3">
        <v>3</v>
      </c>
    </row>
    <row r="4" spans="2:6" x14ac:dyDescent="0.35">
      <c r="B4" t="s">
        <v>1</v>
      </c>
      <c r="C4">
        <v>0</v>
      </c>
      <c r="D4">
        <v>1</v>
      </c>
      <c r="E4">
        <v>3</v>
      </c>
      <c r="F4">
        <v>7</v>
      </c>
    </row>
    <row r="5" spans="2:6" x14ac:dyDescent="0.35">
      <c r="B5" t="s">
        <v>2</v>
      </c>
      <c r="C5">
        <v>0</v>
      </c>
      <c r="D5">
        <v>0</v>
      </c>
      <c r="E5">
        <v>1</v>
      </c>
      <c r="F5">
        <v>3</v>
      </c>
    </row>
    <row r="6" spans="2:6" x14ac:dyDescent="0.35">
      <c r="B6" t="s">
        <v>3</v>
      </c>
      <c r="C6">
        <v>0</v>
      </c>
      <c r="D6">
        <v>0</v>
      </c>
      <c r="E6">
        <v>0</v>
      </c>
      <c r="F6">
        <v>1</v>
      </c>
    </row>
    <row r="25" spans="2:14" x14ac:dyDescent="0.35">
      <c r="B25" t="s">
        <v>18</v>
      </c>
    </row>
    <row r="26" spans="2:14" x14ac:dyDescent="0.35">
      <c r="C26" s="2" t="s">
        <v>0</v>
      </c>
      <c r="D26" s="2"/>
      <c r="E26" s="2"/>
      <c r="F26" s="2" t="s">
        <v>1</v>
      </c>
      <c r="G26" s="2"/>
      <c r="H26" s="2"/>
      <c r="I26" s="2" t="s">
        <v>2</v>
      </c>
      <c r="J26" s="2"/>
      <c r="K26" s="2"/>
      <c r="L26" s="2" t="s">
        <v>3</v>
      </c>
      <c r="M26" s="2"/>
      <c r="N26" s="2"/>
    </row>
    <row r="27" spans="2:14" x14ac:dyDescent="0.35">
      <c r="B27" s="1"/>
      <c r="C27" s="1" t="s">
        <v>15</v>
      </c>
      <c r="D27" s="1" t="s">
        <v>16</v>
      </c>
      <c r="E27" s="1" t="s">
        <v>17</v>
      </c>
      <c r="F27" s="1" t="s">
        <v>15</v>
      </c>
      <c r="G27" s="1" t="s">
        <v>16</v>
      </c>
      <c r="H27" s="1" t="s">
        <v>17</v>
      </c>
      <c r="I27" s="1" t="s">
        <v>15</v>
      </c>
      <c r="J27" s="1" t="s">
        <v>16</v>
      </c>
      <c r="K27" s="1" t="s">
        <v>17</v>
      </c>
      <c r="L27" s="1" t="s">
        <v>15</v>
      </c>
      <c r="M27" s="1" t="s">
        <v>16</v>
      </c>
      <c r="N27" s="1" t="s">
        <v>17</v>
      </c>
    </row>
    <row r="28" spans="2:14" x14ac:dyDescent="0.35">
      <c r="B28" s="1" t="s">
        <v>0</v>
      </c>
      <c r="C28" s="1">
        <v>1</v>
      </c>
      <c r="D28" s="1">
        <v>1</v>
      </c>
      <c r="E28" s="1">
        <v>1</v>
      </c>
      <c r="F28" s="1">
        <v>2</v>
      </c>
      <c r="G28" s="1">
        <v>2.5</v>
      </c>
      <c r="H28" s="1">
        <v>3</v>
      </c>
      <c r="I28" s="1">
        <v>0.5</v>
      </c>
      <c r="J28" s="1">
        <v>1</v>
      </c>
      <c r="K28" s="1">
        <v>1.5</v>
      </c>
      <c r="L28" s="1">
        <v>1</v>
      </c>
      <c r="M28" s="1">
        <v>1.5</v>
      </c>
      <c r="N28" s="1">
        <v>2</v>
      </c>
    </row>
    <row r="29" spans="2:14" x14ac:dyDescent="0.35">
      <c r="B29" s="1" t="s">
        <v>1</v>
      </c>
      <c r="C29" s="1">
        <v>0.33300000000000002</v>
      </c>
      <c r="D29" s="1">
        <v>0.4</v>
      </c>
      <c r="E29" s="1">
        <v>0.5</v>
      </c>
      <c r="F29" s="1">
        <v>1</v>
      </c>
      <c r="G29" s="1">
        <v>1</v>
      </c>
      <c r="H29" s="1">
        <v>1</v>
      </c>
      <c r="I29" s="1">
        <v>1</v>
      </c>
      <c r="J29" s="1">
        <v>1.5</v>
      </c>
      <c r="K29" s="1">
        <v>2</v>
      </c>
      <c r="L29" s="1">
        <v>3</v>
      </c>
      <c r="M29" s="1">
        <v>3.5</v>
      </c>
      <c r="N29" s="1">
        <v>4</v>
      </c>
    </row>
    <row r="30" spans="2:14" x14ac:dyDescent="0.35">
      <c r="B30" s="1" t="s">
        <v>2</v>
      </c>
      <c r="C30" s="1">
        <v>0.66700000000000004</v>
      </c>
      <c r="D30" s="1">
        <v>1</v>
      </c>
      <c r="E30" s="1">
        <v>2</v>
      </c>
      <c r="F30" s="1">
        <v>0.5</v>
      </c>
      <c r="G30" s="1">
        <v>0.66700000000000004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1.5</v>
      </c>
      <c r="N30" s="1">
        <v>2</v>
      </c>
    </row>
    <row r="31" spans="2:14" x14ac:dyDescent="0.35">
      <c r="B31" s="1" t="s">
        <v>3</v>
      </c>
      <c r="C31" s="1">
        <v>0.5</v>
      </c>
      <c r="D31" s="1">
        <v>0.66700000000000004</v>
      </c>
      <c r="E31" s="1">
        <v>1</v>
      </c>
      <c r="F31" s="1">
        <v>0.25</v>
      </c>
      <c r="G31" s="1">
        <v>0.28599999999999998</v>
      </c>
      <c r="H31" s="1">
        <v>0.33300000000000002</v>
      </c>
      <c r="I31" s="1">
        <v>0.5</v>
      </c>
      <c r="J31" s="1">
        <v>0.66700000000000004</v>
      </c>
      <c r="K31" s="1">
        <v>1</v>
      </c>
      <c r="L31" s="1">
        <v>1</v>
      </c>
      <c r="M31" s="1">
        <v>1</v>
      </c>
      <c r="N31" s="1">
        <v>1</v>
      </c>
    </row>
    <row r="33" spans="2:9" x14ac:dyDescent="0.35">
      <c r="B33" t="s">
        <v>19</v>
      </c>
      <c r="F33" t="s">
        <v>20</v>
      </c>
    </row>
    <row r="34" spans="2:9" x14ac:dyDescent="0.35">
      <c r="B34" s="1" t="s">
        <v>15</v>
      </c>
      <c r="C34" s="1" t="s">
        <v>16</v>
      </c>
      <c r="D34" s="1" t="s">
        <v>17</v>
      </c>
      <c r="G34" s="1" t="s">
        <v>15</v>
      </c>
      <c r="H34" s="1" t="s">
        <v>16</v>
      </c>
      <c r="I34" s="1" t="s">
        <v>17</v>
      </c>
    </row>
    <row r="35" spans="2:9" x14ac:dyDescent="0.35">
      <c r="B35">
        <f>C28+F28+I28+L28</f>
        <v>4.5</v>
      </c>
      <c r="C35">
        <f t="shared" ref="C35:D38" si="0">D28+G28+J28+M28</f>
        <v>6</v>
      </c>
      <c r="D35">
        <f t="shared" si="0"/>
        <v>7.5</v>
      </c>
      <c r="F35" t="s">
        <v>0</v>
      </c>
      <c r="G35">
        <f>(B35*(1/B$39))</f>
        <v>0.29508196721311475</v>
      </c>
      <c r="H35">
        <f t="shared" ref="H35:I38" si="1">(C35*(1/C$39))</f>
        <v>0.31271173190180845</v>
      </c>
      <c r="I35">
        <f t="shared" si="1"/>
        <v>0.3082234003205524</v>
      </c>
    </row>
    <row r="36" spans="2:9" x14ac:dyDescent="0.35">
      <c r="B36">
        <f t="shared" ref="B36:B38" si="2">C29+F29+I29+L29</f>
        <v>5.3330000000000002</v>
      </c>
      <c r="C36">
        <f t="shared" si="0"/>
        <v>6.4</v>
      </c>
      <c r="D36">
        <f t="shared" si="0"/>
        <v>7.5</v>
      </c>
      <c r="F36" t="s">
        <v>1</v>
      </c>
      <c r="G36">
        <f t="shared" ref="G36:G38" si="3">(B36*(1/B$39))</f>
        <v>0.34970491803278692</v>
      </c>
      <c r="H36">
        <f t="shared" si="1"/>
        <v>0.33355918069526241</v>
      </c>
      <c r="I36">
        <f t="shared" si="1"/>
        <v>0.3082234003205524</v>
      </c>
    </row>
    <row r="37" spans="2:9" x14ac:dyDescent="0.35">
      <c r="B37">
        <f t="shared" si="2"/>
        <v>3.1669999999999998</v>
      </c>
      <c r="C37">
        <f t="shared" si="0"/>
        <v>4.1669999999999998</v>
      </c>
      <c r="D37">
        <f t="shared" si="0"/>
        <v>6</v>
      </c>
      <c r="F37" t="s">
        <v>2</v>
      </c>
      <c r="G37">
        <f t="shared" si="3"/>
        <v>0.20767213114754099</v>
      </c>
      <c r="H37">
        <f t="shared" si="1"/>
        <v>0.21717829780580597</v>
      </c>
      <c r="I37">
        <f t="shared" si="1"/>
        <v>0.2465787202564419</v>
      </c>
    </row>
    <row r="38" spans="2:9" x14ac:dyDescent="0.35">
      <c r="B38">
        <f t="shared" si="2"/>
        <v>2.25</v>
      </c>
      <c r="C38">
        <f t="shared" si="0"/>
        <v>2.62</v>
      </c>
      <c r="D38">
        <f t="shared" si="0"/>
        <v>3.3330000000000002</v>
      </c>
      <c r="F38" t="s">
        <v>3</v>
      </c>
      <c r="G38">
        <f t="shared" si="3"/>
        <v>0.14754098360655737</v>
      </c>
      <c r="H38">
        <f t="shared" si="1"/>
        <v>0.13655078959712305</v>
      </c>
      <c r="I38">
        <f t="shared" si="1"/>
        <v>0.13697447910245347</v>
      </c>
    </row>
    <row r="39" spans="2:9" x14ac:dyDescent="0.35">
      <c r="B39">
        <f>SUM(B35:B38)</f>
        <v>15.25</v>
      </c>
      <c r="C39">
        <f t="shared" ref="C39:D39" si="4">SUM(C35:C38)</f>
        <v>19.187000000000001</v>
      </c>
      <c r="D39">
        <f t="shared" si="4"/>
        <v>24.332999999999998</v>
      </c>
    </row>
    <row r="41" spans="2:9" x14ac:dyDescent="0.35">
      <c r="B41" t="s">
        <v>21</v>
      </c>
    </row>
    <row r="47" spans="2:9" x14ac:dyDescent="0.35">
      <c r="B47" t="s">
        <v>22</v>
      </c>
      <c r="C47">
        <f>((B36-D35)/(C35-D35)-(C36-B36))</f>
        <v>0.37766666666666637</v>
      </c>
      <c r="D47" t="s">
        <v>25</v>
      </c>
      <c r="E47">
        <v>1</v>
      </c>
      <c r="F47" t="s">
        <v>28</v>
      </c>
      <c r="G47">
        <f>((B35-D37)/(C37-D37)-(C35-B35))</f>
        <v>-0.68166939443535202</v>
      </c>
      <c r="H47" t="s">
        <v>31</v>
      </c>
      <c r="I47">
        <f>((B35-D38)/(C38-D38)-(C35-B35))</f>
        <v>-3.1367461430575032</v>
      </c>
    </row>
    <row r="48" spans="2:9" x14ac:dyDescent="0.35">
      <c r="B48" t="s">
        <v>23</v>
      </c>
      <c r="C48">
        <v>1</v>
      </c>
      <c r="D48" t="s">
        <v>26</v>
      </c>
      <c r="E48">
        <v>1</v>
      </c>
      <c r="F48" t="s">
        <v>29</v>
      </c>
      <c r="G48">
        <f>((B36-D37)/(C37-D37)-(C36-B36))</f>
        <v>-0.70311565739225346</v>
      </c>
      <c r="H48" t="s">
        <v>32</v>
      </c>
      <c r="I48">
        <f>((B36-D38)/(C38-D38)-(C36-B36))</f>
        <v>-3.8720490883590459</v>
      </c>
    </row>
    <row r="49" spans="2:9" x14ac:dyDescent="0.35">
      <c r="B49" t="s">
        <v>24</v>
      </c>
      <c r="C49">
        <v>1</v>
      </c>
      <c r="D49" t="s">
        <v>27</v>
      </c>
      <c r="E49">
        <v>1</v>
      </c>
      <c r="F49" t="s">
        <v>30</v>
      </c>
      <c r="G49">
        <v>1</v>
      </c>
      <c r="H49" t="s">
        <v>33</v>
      </c>
      <c r="I49">
        <f>((B37-D38)/(C38-D38)-(C37-B37))</f>
        <v>-0.76718092566619867</v>
      </c>
    </row>
    <row r="50" spans="2:9" x14ac:dyDescent="0.35">
      <c r="C50">
        <f>MIN(C47:C49)</f>
        <v>0.37766666666666637</v>
      </c>
      <c r="E50">
        <f>MIN(E47:E49)</f>
        <v>1</v>
      </c>
      <c r="G50">
        <f>MIN(G47:G49)</f>
        <v>-0.70311565739225346</v>
      </c>
      <c r="I50">
        <f>MIN(I47:I49)</f>
        <v>-3.8720490883590459</v>
      </c>
    </row>
    <row r="52" spans="2:9" x14ac:dyDescent="0.35">
      <c r="B52" t="s">
        <v>34</v>
      </c>
      <c r="G52" t="s">
        <v>36</v>
      </c>
    </row>
    <row r="53" spans="2:9" x14ac:dyDescent="0.35">
      <c r="B53" t="s">
        <v>46</v>
      </c>
      <c r="C53">
        <f>C50</f>
        <v>0.37766666666666637</v>
      </c>
      <c r="D53">
        <f>E50</f>
        <v>1</v>
      </c>
      <c r="E53">
        <f>G50</f>
        <v>-0.70311565739225346</v>
      </c>
      <c r="F53">
        <f>I50</f>
        <v>-3.8720490883590459</v>
      </c>
      <c r="G53">
        <f>SUM(C53:F53)</f>
        <v>-3.197498079084633</v>
      </c>
    </row>
    <row r="54" spans="2:9" x14ac:dyDescent="0.35">
      <c r="B54" t="s">
        <v>35</v>
      </c>
      <c r="C54">
        <f>(C53/$G$53)</f>
        <v>-0.11811318015702554</v>
      </c>
      <c r="D54">
        <f t="shared" ref="D54:F54" si="5">(D53/$G$53)</f>
        <v>-0.31274451939194786</v>
      </c>
      <c r="E54">
        <f t="shared" si="5"/>
        <v>0.21989556834809376</v>
      </c>
      <c r="F54">
        <f t="shared" si="5"/>
        <v>1.2109621312008796</v>
      </c>
      <c r="G54">
        <f>SUM(C54:F54)</f>
        <v>1</v>
      </c>
    </row>
    <row r="56" spans="2:9" x14ac:dyDescent="0.35">
      <c r="B56" t="s">
        <v>4</v>
      </c>
      <c r="C56" t="s">
        <v>5</v>
      </c>
    </row>
    <row r="57" spans="2:9" x14ac:dyDescent="0.35">
      <c r="B57" t="s">
        <v>6</v>
      </c>
      <c r="C57" t="s">
        <v>10</v>
      </c>
    </row>
    <row r="58" spans="2:9" x14ac:dyDescent="0.35">
      <c r="B58" t="s">
        <v>7</v>
      </c>
      <c r="C58" t="s">
        <v>11</v>
      </c>
    </row>
    <row r="59" spans="2:9" x14ac:dyDescent="0.35">
      <c r="B59" t="s">
        <v>8</v>
      </c>
      <c r="C59" t="s">
        <v>12</v>
      </c>
    </row>
    <row r="60" spans="2:9" x14ac:dyDescent="0.35">
      <c r="B60" t="s">
        <v>9</v>
      </c>
      <c r="C60" t="s">
        <v>37</v>
      </c>
    </row>
    <row r="62" spans="2:9" x14ac:dyDescent="0.35">
      <c r="B62" t="s">
        <v>38</v>
      </c>
    </row>
    <row r="63" spans="2:9" x14ac:dyDescent="0.35">
      <c r="B63" t="s">
        <v>4</v>
      </c>
      <c r="C63" t="s">
        <v>39</v>
      </c>
      <c r="D63" t="s">
        <v>40</v>
      </c>
      <c r="E63" t="s">
        <v>41</v>
      </c>
      <c r="F63" t="s">
        <v>42</v>
      </c>
    </row>
    <row r="64" spans="2:9" x14ac:dyDescent="0.35">
      <c r="B64" t="s">
        <v>6</v>
      </c>
      <c r="C64">
        <v>3</v>
      </c>
      <c r="D64">
        <v>3</v>
      </c>
      <c r="E64">
        <v>2</v>
      </c>
      <c r="F64">
        <v>2</v>
      </c>
    </row>
    <row r="65" spans="2:8" x14ac:dyDescent="0.35">
      <c r="B65" t="s">
        <v>7</v>
      </c>
      <c r="C65">
        <v>5</v>
      </c>
      <c r="D65">
        <v>3</v>
      </c>
      <c r="E65">
        <v>2</v>
      </c>
      <c r="F65">
        <v>2</v>
      </c>
    </row>
    <row r="66" spans="2:8" x14ac:dyDescent="0.35">
      <c r="B66" t="s">
        <v>8</v>
      </c>
      <c r="C66">
        <v>1</v>
      </c>
      <c r="D66">
        <v>1</v>
      </c>
      <c r="E66">
        <v>3</v>
      </c>
      <c r="F66">
        <v>1</v>
      </c>
    </row>
    <row r="67" spans="2:8" x14ac:dyDescent="0.35">
      <c r="B67" t="s">
        <v>9</v>
      </c>
      <c r="C67">
        <v>2</v>
      </c>
      <c r="D67">
        <v>1</v>
      </c>
      <c r="E67">
        <v>3</v>
      </c>
      <c r="F67">
        <v>1</v>
      </c>
    </row>
    <row r="69" spans="2:8" x14ac:dyDescent="0.35">
      <c r="B69" t="s">
        <v>43</v>
      </c>
    </row>
    <row r="70" spans="2:8" x14ac:dyDescent="0.35">
      <c r="C70" t="s">
        <v>0</v>
      </c>
      <c r="D70" t="s">
        <v>1</v>
      </c>
      <c r="E70" t="s">
        <v>2</v>
      </c>
      <c r="F70" t="s">
        <v>3</v>
      </c>
      <c r="G70" t="s">
        <v>36</v>
      </c>
      <c r="H70" t="s">
        <v>44</v>
      </c>
    </row>
    <row r="71" spans="2:8" x14ac:dyDescent="0.35">
      <c r="B71" t="s">
        <v>6</v>
      </c>
      <c r="C71">
        <f>C$54*C64</f>
        <v>-0.35433954047107663</v>
      </c>
      <c r="D71">
        <f t="shared" ref="D71:F71" si="6">D$54*D64</f>
        <v>-0.93823355817584364</v>
      </c>
      <c r="E71">
        <f t="shared" si="6"/>
        <v>0.43979113669618752</v>
      </c>
      <c r="F71">
        <f t="shared" si="6"/>
        <v>2.4219242624017592</v>
      </c>
      <c r="G71">
        <f>SUM(C71:F71)</f>
        <v>1.5691423004510263</v>
      </c>
      <c r="H71">
        <f>RANK(G71,$G$71:$G$74,0)</f>
        <v>1</v>
      </c>
    </row>
    <row r="72" spans="2:8" x14ac:dyDescent="0.35">
      <c r="B72" t="s">
        <v>7</v>
      </c>
      <c r="C72">
        <f t="shared" ref="C72:F74" si="7">C$54*C65</f>
        <v>-0.59056590078512772</v>
      </c>
      <c r="D72">
        <f t="shared" si="7"/>
        <v>-0.93823355817584364</v>
      </c>
      <c r="E72">
        <f t="shared" si="7"/>
        <v>0.43979113669618752</v>
      </c>
      <c r="F72">
        <f t="shared" si="7"/>
        <v>2.4219242624017592</v>
      </c>
      <c r="G72">
        <f t="shared" ref="G72:G74" si="8">SUM(C72:F72)</f>
        <v>1.3329159401369755</v>
      </c>
      <c r="H72">
        <f t="shared" ref="H72:H74" si="9">RANK(G72,$G$71:$G$74,0)</f>
        <v>3</v>
      </c>
    </row>
    <row r="73" spans="2:8" x14ac:dyDescent="0.35">
      <c r="B73" t="s">
        <v>8</v>
      </c>
      <c r="C73">
        <f t="shared" si="7"/>
        <v>-0.11811318015702554</v>
      </c>
      <c r="D73">
        <f t="shared" si="7"/>
        <v>-0.31274451939194786</v>
      </c>
      <c r="E73">
        <f t="shared" si="7"/>
        <v>0.65968670504428129</v>
      </c>
      <c r="F73">
        <f t="shared" si="7"/>
        <v>1.2109621312008796</v>
      </c>
      <c r="G73">
        <f t="shared" si="8"/>
        <v>1.4397911366961875</v>
      </c>
      <c r="H73">
        <f t="shared" si="9"/>
        <v>2</v>
      </c>
    </row>
    <row r="74" spans="2:8" x14ac:dyDescent="0.35">
      <c r="B74" t="s">
        <v>9</v>
      </c>
      <c r="C74">
        <f t="shared" si="7"/>
        <v>-0.23622636031405109</v>
      </c>
      <c r="D74">
        <f t="shared" si="7"/>
        <v>-0.31274451939194786</v>
      </c>
      <c r="E74">
        <f t="shared" si="7"/>
        <v>0.65968670504428129</v>
      </c>
      <c r="F74">
        <f t="shared" si="7"/>
        <v>1.2109621312008796</v>
      </c>
      <c r="G74">
        <f t="shared" si="8"/>
        <v>1.3216779565391619</v>
      </c>
      <c r="H74">
        <f t="shared" si="9"/>
        <v>4</v>
      </c>
    </row>
    <row r="76" spans="2:8" x14ac:dyDescent="0.35">
      <c r="B76" t="s">
        <v>45</v>
      </c>
    </row>
    <row r="77" spans="2:8" x14ac:dyDescent="0.35">
      <c r="B77" t="s">
        <v>6</v>
      </c>
      <c r="C77" t="s">
        <v>10</v>
      </c>
    </row>
    <row r="78" spans="2:8" x14ac:dyDescent="0.35">
      <c r="B78" t="s">
        <v>8</v>
      </c>
      <c r="C78" t="s">
        <v>12</v>
      </c>
    </row>
    <row r="79" spans="2:8" x14ac:dyDescent="0.35">
      <c r="B79" t="s">
        <v>7</v>
      </c>
      <c r="C79" t="s">
        <v>11</v>
      </c>
    </row>
    <row r="80" spans="2:8" x14ac:dyDescent="0.35">
      <c r="B80" t="s">
        <v>9</v>
      </c>
      <c r="C80" t="s">
        <v>13</v>
      </c>
    </row>
  </sheetData>
  <mergeCells count="4">
    <mergeCell ref="C26:E26"/>
    <mergeCell ref="F26:H26"/>
    <mergeCell ref="I26:K26"/>
    <mergeCell ref="L26:N26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2023-06-19T13:38:10Z</dcterms:created>
  <dcterms:modified xsi:type="dcterms:W3CDTF">2023-06-19T16:13:42Z</dcterms:modified>
</cp:coreProperties>
</file>